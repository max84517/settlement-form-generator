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p.sharepoint.com/teams/InputDevice/Shared Documents/General/17. Automation Projects/settlement-form-generator/data/settlement info/"/>
    </mc:Choice>
  </mc:AlternateContent>
  <xr:revisionPtr revIDLastSave="10" documentId="13_ncr:1_{EFC9C18D-6AB1-419E-98A5-91AC95941D19}" xr6:coauthVersionLast="47" xr6:coauthVersionMax="47" xr10:uidLastSave="{D7C4DD2E-A380-4740-8E99-C07E8E7D3721}"/>
  <bookViews>
    <workbookView xWindow="-110" yWindow="-110" windowWidth="19420" windowHeight="11500" xr2:uid="{B4B4C7C1-7052-47F5-B23D-E78807A6AB18}"/>
  </bookViews>
  <sheets>
    <sheet name="Supplier Info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2" i="1"/>
  <c r="J23" i="1"/>
  <c r="J24" i="1"/>
  <c r="J25" i="1"/>
  <c r="J26" i="1"/>
  <c r="J27" i="1"/>
  <c r="J28" i="1"/>
  <c r="J29" i="1"/>
  <c r="J30" i="1"/>
  <c r="J31" i="1"/>
</calcChain>
</file>

<file path=xl/sharedStrings.xml><?xml version="1.0" encoding="utf-8"?>
<sst xmlns="http://schemas.openxmlformats.org/spreadsheetml/2006/main" count="229" uniqueCount="135">
  <si>
    <t>GBU</t>
  </si>
  <si>
    <t>Metal</t>
  </si>
  <si>
    <t>Dongju</t>
  </si>
  <si>
    <t>HOKG KONG JRD PRECISION MECHANICAL COMPANY LIMITED</t>
  </si>
  <si>
    <t>Kay He</t>
  </si>
  <si>
    <t>General Manager</t>
  </si>
  <si>
    <t>Hamagawa</t>
  </si>
  <si>
    <t>Bin Chuan Enterprise Co., LTD.</t>
  </si>
  <si>
    <t>Andy Liu</t>
  </si>
  <si>
    <t>VP</t>
  </si>
  <si>
    <t>Tayu</t>
  </si>
  <si>
    <t>Zhuchang Precision Optical Machinery (Shanghai) Co. Ltd.</t>
  </si>
  <si>
    <t>Ray Ho</t>
  </si>
  <si>
    <t>Juteng</t>
  </si>
  <si>
    <t>DYNAMIC APEX LIMITED</t>
  </si>
  <si>
    <t>George Hong</t>
  </si>
  <si>
    <t>Director</t>
  </si>
  <si>
    <t>Kenseisha</t>
  </si>
  <si>
    <t>KENSEISHA(SHANGHAI) PRECISION MACHINING PROCESS CO., LTD.</t>
  </si>
  <si>
    <t>C.S. Yang</t>
  </si>
  <si>
    <t>Chairman</t>
  </si>
  <si>
    <t>Catcher</t>
  </si>
  <si>
    <t>Catcher Technology Co., Ltd</t>
  </si>
  <si>
    <t>Andy Feng</t>
  </si>
  <si>
    <t>AVP Sales and Marketing</t>
  </si>
  <si>
    <t>Kashui</t>
  </si>
  <si>
    <t>KA SHUI MANUFACTORY CO., LTD</t>
  </si>
  <si>
    <t xml:space="preserve">Ben Cheng </t>
  </si>
  <si>
    <t>BYS</t>
  </si>
  <si>
    <t>CHONGQING BAI YU SHUN TECHNOLOGY COMPANY</t>
  </si>
  <si>
    <t>Jay Zhou</t>
  </si>
  <si>
    <t>Shangzhun</t>
  </si>
  <si>
    <t>DONGGUAN SHANGZHUN HARDWARE CO LTD</t>
  </si>
  <si>
    <t>WenYong Xu</t>
  </si>
  <si>
    <t>Deng He</t>
  </si>
  <si>
    <t>Kunshan Denghe precision Machinery Co.,Ltd</t>
  </si>
  <si>
    <t>William Wu</t>
  </si>
  <si>
    <t>GD</t>
  </si>
  <si>
    <t>MAANSHAN GREEN DESIGN ELECTRONICS TECHNOLOGY CO., LTD</t>
  </si>
  <si>
    <t>Chin Han Wang</t>
  </si>
  <si>
    <t xml:space="preserve">President </t>
  </si>
  <si>
    <t>Soft Goods</t>
  </si>
  <si>
    <t>XinXiu</t>
  </si>
  <si>
    <t>XINXIU Corporation</t>
  </si>
  <si>
    <t>Catherine Xu</t>
  </si>
  <si>
    <t>Sales Manager</t>
  </si>
  <si>
    <t>Cosmo</t>
  </si>
  <si>
    <t>CosmoSupplyLab</t>
  </si>
  <si>
    <t>Alex Leung</t>
  </si>
  <si>
    <t>Fin VP</t>
  </si>
  <si>
    <t>IMR</t>
  </si>
  <si>
    <t>Kurz</t>
  </si>
  <si>
    <t>LEONHARD KURZ Stiftung &amp; Co. KG</t>
  </si>
  <si>
    <t>Raimund Fritsch</t>
  </si>
  <si>
    <t>Head of BAP Plastic Decoration Sales &amp; Marketing</t>
  </si>
  <si>
    <t>Sentien</t>
  </si>
  <si>
    <t>SENTIEN PRINTING FACTORY CO., LTD.</t>
  </si>
  <si>
    <t>Jason Chen</t>
  </si>
  <si>
    <t>Assistant Vice President</t>
  </si>
  <si>
    <t>Thermal</t>
  </si>
  <si>
    <t>Auras</t>
  </si>
  <si>
    <t>AURAS TECHNOLOGY CO., LTD</t>
  </si>
  <si>
    <t>Tony Pa</t>
  </si>
  <si>
    <t>Sales Director</t>
  </si>
  <si>
    <t>Sunon</t>
  </si>
  <si>
    <t>SUNONWEALTH ELECTRIC MACHINE INDUSTRY CO., LTD</t>
  </si>
  <si>
    <t>Kinder Wang</t>
  </si>
  <si>
    <t>Vice Director</t>
  </si>
  <si>
    <t>Delta</t>
  </si>
  <si>
    <t>DELTA ELECTRONICS INT’L (SINGAPORE) PTE. LTD</t>
  </si>
  <si>
    <t>Evan Lu</t>
  </si>
  <si>
    <t>NCCI</t>
  </si>
  <si>
    <t>Nidec Chaun-Choung Technology Corporation</t>
  </si>
  <si>
    <t>Bruce Cheng</t>
  </si>
  <si>
    <t>CSO</t>
  </si>
  <si>
    <t>Huaying</t>
  </si>
  <si>
    <t>HUAYING ELECTRONICS TECHNOLOGY CO., LIMITED</t>
  </si>
  <si>
    <t>Vic Huang</t>
  </si>
  <si>
    <t>Vice President</t>
  </si>
  <si>
    <t>AVC</t>
  </si>
  <si>
    <t>Asia Vital Components Co., Ltd.</t>
  </si>
  <si>
    <t>Gary Huang</t>
  </si>
  <si>
    <t>FCN</t>
  </si>
  <si>
    <t xml:space="preserve">FORCECON TECHNOLOGY CO., LTD </t>
  </si>
  <si>
    <t>Wem Wang</t>
  </si>
  <si>
    <t>Sales VP</t>
  </si>
  <si>
    <t>Keyboard</t>
  </si>
  <si>
    <t>NB</t>
  </si>
  <si>
    <t>Chicony</t>
  </si>
  <si>
    <t>CHICONY ELECTRONICS CO., LTD.</t>
  </si>
  <si>
    <t>Lawrence Wang</t>
  </si>
  <si>
    <t>Sales AVP, MKB BU</t>
  </si>
  <si>
    <t>SR_000028</t>
  </si>
  <si>
    <t>DT</t>
  </si>
  <si>
    <t>KY Huang</t>
  </si>
  <si>
    <t>IPD BU General Manager</t>
  </si>
  <si>
    <t>Liteon</t>
  </si>
  <si>
    <t>LITE-ON TECHNOLOGY CORPORATION</t>
  </si>
  <si>
    <t>SR_000029</t>
  </si>
  <si>
    <t>Primax</t>
  </si>
  <si>
    <t>PRIMAX ELECTRONICS LTD.</t>
  </si>
  <si>
    <t>Phillip Wang</t>
  </si>
  <si>
    <t>BG Head, iIBG</t>
  </si>
  <si>
    <t>SR_000030</t>
  </si>
  <si>
    <t>Darfon</t>
  </si>
  <si>
    <t>DARFON ELECTRONICS CORP.</t>
  </si>
  <si>
    <t>Chris Wang</t>
  </si>
  <si>
    <t>SR_000058</t>
  </si>
  <si>
    <t>Sunrex</t>
  </si>
  <si>
    <t>SUNREX TECHNOLOGY CORP.</t>
  </si>
  <si>
    <t>Ellie Chen</t>
  </si>
  <si>
    <t>SR_000031</t>
  </si>
  <si>
    <t>Fingerprint/Touchpad</t>
  </si>
  <si>
    <t>Elan</t>
  </si>
  <si>
    <t>ELAN MICROELECTRONICS CORPORATION</t>
  </si>
  <si>
    <t>Ian Chung</t>
  </si>
  <si>
    <t>Director, Notebook Marketing &amp; Sales Dept., Marketing &amp; Sales Division</t>
  </si>
  <si>
    <t>Synaptics</t>
  </si>
  <si>
    <t>Synaptics Incorporated</t>
  </si>
  <si>
    <t>Satish Ganesan</t>
  </si>
  <si>
    <t>Supplier General Manager</t>
  </si>
  <si>
    <t>David Stradal</t>
  </si>
  <si>
    <t>Sr. Procurement Manager</t>
  </si>
  <si>
    <t>ICMSRAGREEMENTCODE</t>
  </si>
  <si>
    <t>ICMExternalSignatory</t>
  </si>
  <si>
    <t>ICMExternalSignatoryTitle</t>
  </si>
  <si>
    <t>ICMInternalSignatoryTitle</t>
  </si>
  <si>
    <t>ICMInternalSignatory</t>
  </si>
  <si>
    <t>GTK Supplier</t>
  </si>
  <si>
    <t>ICMPartyName1</t>
  </si>
  <si>
    <t>Sub-Category</t>
  </si>
  <si>
    <t>ICMSRAgreementEffectiveDate</t>
  </si>
  <si>
    <t>CW#</t>
  </si>
  <si>
    <t>Anson Chiu</t>
  </si>
  <si>
    <t>President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</si>
</sst>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3">
    <dxf>
      <numFmt numFmtId="164" formatCode="[$-409]mmmm\ d\,\ yyyy;@"/>
    </dxf>
    <dxf>
      <numFmt numFmtId="164" formatCode="[$-409]mmmm\ d\,\ yyyy;@"/>
    </dxf>
    <dxf>
      <font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 tint="4.9989318521683403E-2"/>
        </patternFill>
      </fill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GTKME2026/Shared%20Documents/09.%20Projects/4.%20E&amp;O%20Direct%20Pay/E&amp;O%20Platforms&amp;%20Summary/E&amp;O%20Summary%20Table.xlsx" TargetMode="External"/><Relationship Id="rId2" Type="http://schemas.openxmlformats.org/officeDocument/2006/relationships/externalLinkPath" Target="https://hp.sharepoint.com/teams/GTKME2026/Shared%20Documents/09.%20Projects/4.%20E&amp;O%20Direct%20Pay/E&amp;O%20Platforms&amp;%20Summary/E&amp;O%20Summary%20Table.xlsx" TargetMode="External"/><Relationship Id="rId1" Type="http://schemas.openxmlformats.org/officeDocument/2006/relationships/externalLinkPath" Target="/teams/GTKME2026/Shared%20Documents/09.%20Projects/4.%20E&amp;O%20Direct%20Pay/E&amp;O%20Platforms&amp;%20Summary/E&amp;O%20Summary%20Tab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pplier Info"/>
      <sheetName val="List"/>
      <sheetName val="Data"/>
    </sheetNames>
    <sheetDataSet>
      <sheetData sheetId="0">
        <row r="1">
          <cell r="D1" t="str">
            <v>Supplier name</v>
          </cell>
          <cell r="E1" t="str">
            <v>Master Agreement</v>
          </cell>
        </row>
        <row r="2">
          <cell r="D2" t="str">
            <v>HOKG KONG JRD PRECISION MECHANICAL COMPANY LIMITED</v>
          </cell>
          <cell r="E2" t="str">
            <v>CW2291673</v>
          </cell>
        </row>
        <row r="3">
          <cell r="D3" t="str">
            <v>Bin Chuan Enterprise Co., LTD.</v>
          </cell>
          <cell r="E3" t="str">
            <v>CW2291675</v>
          </cell>
        </row>
        <row r="4">
          <cell r="D4" t="str">
            <v>Zhuchang Precision Optical Machinery (Shanghai) Co. Ltd.</v>
          </cell>
          <cell r="E4" t="str">
            <v>CW2291677</v>
          </cell>
        </row>
        <row r="5">
          <cell r="D5" t="str">
            <v>DYNAMIC APEX LIMITED</v>
          </cell>
          <cell r="E5" t="str">
            <v>CW2291682</v>
          </cell>
        </row>
        <row r="6">
          <cell r="D6" t="str">
            <v>KENSEISHA(SHANGHAI) PRECISION MACHINING PROCESS CO., LTD.</v>
          </cell>
          <cell r="E6" t="str">
            <v>CW2291684</v>
          </cell>
        </row>
        <row r="7">
          <cell r="D7" t="str">
            <v>Catcher Technology Co., Ltd</v>
          </cell>
          <cell r="E7" t="str">
            <v>CW2291686</v>
          </cell>
        </row>
        <row r="8">
          <cell r="D8" t="str">
            <v>KA SHUI MANUFACTORY CO., LTD</v>
          </cell>
          <cell r="E8" t="str">
            <v>CW2291688</v>
          </cell>
        </row>
        <row r="9">
          <cell r="D9" t="str">
            <v>CHONGQING BAI YU SHUN TECHNOLOGY COMPANY</v>
          </cell>
          <cell r="E9" t="str">
            <v>CW2290251</v>
          </cell>
        </row>
        <row r="10">
          <cell r="D10" t="str">
            <v>DONGGUAN SHANGZHUN HARDWARE CO LTD</v>
          </cell>
          <cell r="E10" t="str">
            <v>CW2291690</v>
          </cell>
        </row>
        <row r="11">
          <cell r="D11" t="str">
            <v>Kunshan Denghe precision Machinery Co.,Ltd</v>
          </cell>
          <cell r="E11" t="str">
            <v>CW2291692</v>
          </cell>
        </row>
        <row r="12">
          <cell r="D12" t="str">
            <v>MAANSHAN GREEN DESIGN ELECTRONICS TECHNOLOGY CO., LTD</v>
          </cell>
          <cell r="E12" t="str">
            <v>CW2291694</v>
          </cell>
        </row>
        <row r="13">
          <cell r="D13" t="str">
            <v>XINXIU Corporation</v>
          </cell>
          <cell r="E13" t="str">
            <v>CW2291696</v>
          </cell>
        </row>
        <row r="14">
          <cell r="D14" t="str">
            <v>CosmoSupplyLab</v>
          </cell>
          <cell r="E14" t="str">
            <v>CW2291698</v>
          </cell>
        </row>
        <row r="15">
          <cell r="D15" t="str">
            <v>LEONHARD KURZ Stiftung &amp; Co. KG</v>
          </cell>
          <cell r="E15" t="str">
            <v>CW2291772</v>
          </cell>
        </row>
        <row r="16">
          <cell r="D16" t="str">
            <v>SENTIEN PRINTING FACTORY CO., LTD.</v>
          </cell>
          <cell r="E16" t="str">
            <v>CW2291700</v>
          </cell>
        </row>
        <row r="17">
          <cell r="D17" t="str">
            <v>AURAS TECHNOLOGY CO., LTD</v>
          </cell>
          <cell r="E17" t="str">
            <v>CW2291702</v>
          </cell>
        </row>
        <row r="18">
          <cell r="D18" t="str">
            <v>SUNONWEALTH ELECTRIC MACHINE INDUSTRY CO., LTD</v>
          </cell>
          <cell r="E18" t="str">
            <v>CW2291704</v>
          </cell>
        </row>
        <row r="19">
          <cell r="D19" t="str">
            <v>DELTA ELECTRONICS INT’L (SINGAPORE) PTE. LTD</v>
          </cell>
          <cell r="E19" t="str">
            <v>CW2291706</v>
          </cell>
        </row>
        <row r="20">
          <cell r="D20" t="str">
            <v>Nidec Chaun-Choung Technology Corporation</v>
          </cell>
          <cell r="E20" t="str">
            <v>CW2291708</v>
          </cell>
        </row>
        <row r="21">
          <cell r="D21" t="str">
            <v>HUAYING ELECTRONICS TECHNOLOGY CO., LIMITED</v>
          </cell>
        </row>
        <row r="22">
          <cell r="D22" t="str">
            <v>Asia Vital Components Co., Ltd.</v>
          </cell>
          <cell r="E22" t="str">
            <v>CW2291710</v>
          </cell>
        </row>
        <row r="23">
          <cell r="D23" t="str">
            <v xml:space="preserve">FORCECON TECHNOLOGY CO., LTD </v>
          </cell>
          <cell r="E23" t="str">
            <v>CW2291712</v>
          </cell>
        </row>
        <row r="24">
          <cell r="D24" t="str">
            <v>CHICONY ELECTRONICS CO., LTD.</v>
          </cell>
          <cell r="E24" t="str">
            <v>CW2290757</v>
          </cell>
        </row>
        <row r="25">
          <cell r="D25" t="str">
            <v>CHICONY ELECTRONICS CO., LTD.</v>
          </cell>
          <cell r="E25" t="str">
            <v>CW2290757</v>
          </cell>
        </row>
        <row r="26">
          <cell r="D26" t="str">
            <v>LITE-ON TECHNOLOGY CORPORATION</v>
          </cell>
          <cell r="E26" t="str">
            <v>CW2290755</v>
          </cell>
        </row>
        <row r="27">
          <cell r="D27" t="str">
            <v>PRIMAX ELECTRONICS LTD.</v>
          </cell>
          <cell r="E27" t="str">
            <v>CW2290761</v>
          </cell>
        </row>
        <row r="28">
          <cell r="D28" t="str">
            <v>DARFON ELECTRONICS CORP.</v>
          </cell>
          <cell r="E28" t="str">
            <v>CW2290759</v>
          </cell>
        </row>
        <row r="29">
          <cell r="D29" t="str">
            <v>SUNREX TECHNOLOGY CORP.</v>
          </cell>
          <cell r="E29" t="str">
            <v>CW2290763</v>
          </cell>
        </row>
        <row r="30">
          <cell r="D30" t="str">
            <v>ELAN MICROELECTRONICS CORPORATION</v>
          </cell>
          <cell r="E30" t="str">
            <v>CW2290334</v>
          </cell>
        </row>
        <row r="31">
          <cell r="D31" t="str">
            <v>Synaptics Incorporated</v>
          </cell>
          <cell r="E31" t="str">
            <v>CW2290765</v>
          </cell>
        </row>
      </sheetData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96E6C5-3477-484B-B58A-01ABDB0F987D}" name="Table1" displayName="Table1" ref="A1:K31" totalsRowShown="0" headerRowDxfId="2">
  <autoFilter ref="A1:K31" xr:uid="{00000000-0009-0000-0100-000001000000}"/>
  <tableColumns count="11">
    <tableColumn id="1" xr3:uid="{8745379D-ABF7-4338-810D-020889C042C9}" name="Sub-Category"/>
    <tableColumn id="2" xr3:uid="{6495F64E-6439-4236-B965-B5AC3CA8DF4D}" name="GBU"/>
    <tableColumn id="3" xr3:uid="{BC823B95-0F4B-4DB1-A9E1-EC2D4D78D8FC}" name="GTK Supplier"/>
    <tableColumn id="4" xr3:uid="{8319A58B-B53F-48F0-AE41-BC6609028827}" name="ICMPartyName1"/>
    <tableColumn id="7" xr3:uid="{4558732D-476E-42BB-A2A0-52C7D39BDDB9}" name="ICMExternalSignatory"/>
    <tableColumn id="8" xr3:uid="{5717F9AB-4028-41A3-8015-F5E1316E2840}" name="ICMExternalSignatoryTitle"/>
    <tableColumn id="5" xr3:uid="{B6AC2849-12D3-4ABE-8D3B-E69124505A5B}" name="ICMInternalSignatory"/>
    <tableColumn id="6" xr3:uid="{63B4BD2E-E735-483C-8AA0-A79412C44FA9}" name="ICMInternalSignatoryTitle"/>
    <tableColumn id="9" xr3:uid="{13067000-AC71-4660-9DD9-E2AD30A83394}" name="ICMSRAgreementEffectiveDate" dataDxfId="1"/>
    <tableColumn id="11" xr3:uid="{EDA04414-F025-4CEE-AA09-0347A0AFF19A}" name="CW#" dataDxfId="0">
      <calculatedColumnFormula>_xlfn.XLOOKUP(Table1[[#This Row],[ICMPartyName1]],'[1]Supplier Info'!$D:$D,'[1]Supplier Info'!$E:$E,,0)</calculatedColumnFormula>
    </tableColumn>
    <tableColumn id="10" xr3:uid="{3309F73E-4CC4-4407-97D9-628068CBDF62}" name="ICMSRAGREEMENTCODE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11DAF-55AB-474F-9039-FABAB1A58A19}">
  <dimension ref="A1:K31"/>
  <sheetViews>
    <sheetView tabSelected="1" topLeftCell="B1" zoomScale="90" zoomScaleNormal="90" workbookViewId="0">
      <selection activeCell="D20" sqref="D20"/>
    </sheetView>
  </sheetViews>
  <sheetFormatPr defaultRowHeight="14.5" x14ac:dyDescent="0.35"/>
  <cols>
    <col min="1" max="1" width="18.08984375" customWidth="1"/>
    <col min="2" max="2" width="12.54296875" customWidth="1"/>
    <col min="3" max="3" width="21.81640625" customWidth="1"/>
    <col min="4" max="4" width="58" bestFit="1" customWidth="1"/>
    <col min="5" max="5" width="19.1796875" customWidth="1"/>
    <col min="6" max="9" width="41.54296875" customWidth="1"/>
    <col min="10" max="10" width="24.453125" customWidth="1"/>
    <col min="11" max="11" width="33.81640625" customWidth="1"/>
  </cols>
  <sheetData>
    <row r="1" spans="1:11" ht="15" customHeight="1" x14ac:dyDescent="0.35">
      <c r="A1" s="1" t="s">
        <v>130</v>
      </c>
      <c r="B1" s="1" t="s">
        <v>0</v>
      </c>
      <c r="C1" s="1" t="s">
        <v>128</v>
      </c>
      <c r="D1" s="1" t="s">
        <v>129</v>
      </c>
      <c r="E1" s="1" t="s">
        <v>124</v>
      </c>
      <c r="F1" s="1" t="s">
        <v>125</v>
      </c>
      <c r="G1" s="1" t="s">
        <v>127</v>
      </c>
      <c r="H1" s="1" t="s">
        <v>126</v>
      </c>
      <c r="I1" s="1" t="s">
        <v>131</v>
      </c>
      <c r="J1" s="1" t="s">
        <v>132</v>
      </c>
      <c r="K1" s="1" t="s">
        <v>123</v>
      </c>
    </row>
    <row r="2" spans="1:11" ht="16.5" customHeight="1" x14ac:dyDescent="0.35">
      <c r="A2" t="s">
        <v>1</v>
      </c>
      <c r="C2" t="s">
        <v>2</v>
      </c>
      <c r="D2" t="s">
        <v>3</v>
      </c>
      <c r="E2" t="s">
        <v>4</v>
      </c>
      <c r="F2" t="s">
        <v>120</v>
      </c>
      <c r="G2" t="s">
        <v>121</v>
      </c>
      <c r="H2" t="s">
        <v>122</v>
      </c>
      <c r="I2" s="2">
        <v>45727</v>
      </c>
      <c r="J2" s="2" t="str">
        <f>_xlfn.XLOOKUP(Table1[[#This Row],[ICMPartyName1]],'[1]Supplier Info'!$D:$D,'[1]Supplier Info'!$E:$E,,0)</f>
        <v>CW2291673</v>
      </c>
    </row>
    <row r="3" spans="1:11" ht="15" customHeight="1" x14ac:dyDescent="0.35">
      <c r="A3" t="s">
        <v>1</v>
      </c>
      <c r="C3" t="s">
        <v>6</v>
      </c>
      <c r="D3" t="s">
        <v>7</v>
      </c>
      <c r="E3" t="s">
        <v>8</v>
      </c>
      <c r="F3" t="s">
        <v>9</v>
      </c>
      <c r="G3" t="s">
        <v>121</v>
      </c>
      <c r="H3" t="s">
        <v>122</v>
      </c>
      <c r="I3" s="2">
        <v>45722</v>
      </c>
      <c r="J3" s="2" t="str">
        <f>_xlfn.XLOOKUP(Table1[[#This Row],[ICMPartyName1]],'[1]Supplier Info'!$D:$D,'[1]Supplier Info'!$E:$E,,0)</f>
        <v>CW2291675</v>
      </c>
    </row>
    <row r="4" spans="1:11" ht="15" customHeight="1" x14ac:dyDescent="0.35">
      <c r="A4" t="s">
        <v>1</v>
      </c>
      <c r="C4" t="s">
        <v>10</v>
      </c>
      <c r="D4" t="s">
        <v>11</v>
      </c>
      <c r="E4" t="s">
        <v>12</v>
      </c>
      <c r="F4" t="s">
        <v>5</v>
      </c>
      <c r="G4" t="s">
        <v>121</v>
      </c>
      <c r="H4" t="s">
        <v>122</v>
      </c>
      <c r="I4" s="2">
        <v>45785</v>
      </c>
      <c r="J4" s="2" t="str">
        <f>_xlfn.XLOOKUP(Table1[[#This Row],[ICMPartyName1]],'[1]Supplier Info'!$D:$D,'[1]Supplier Info'!$E:$E,,0)</f>
        <v>CW2291677</v>
      </c>
    </row>
    <row r="5" spans="1:11" ht="15" customHeight="1" x14ac:dyDescent="0.35">
      <c r="A5" t="s">
        <v>1</v>
      </c>
      <c r="C5" t="s">
        <v>13</v>
      </c>
      <c r="D5" t="s">
        <v>14</v>
      </c>
      <c r="E5" t="s">
        <v>15</v>
      </c>
      <c r="F5" t="s">
        <v>16</v>
      </c>
      <c r="G5" t="s">
        <v>121</v>
      </c>
      <c r="H5" t="s">
        <v>122</v>
      </c>
      <c r="I5" s="2">
        <v>45784</v>
      </c>
      <c r="J5" s="2" t="str">
        <f>_xlfn.XLOOKUP(Table1[[#This Row],[ICMPartyName1]],'[1]Supplier Info'!$D:$D,'[1]Supplier Info'!$E:$E,,0)</f>
        <v>CW2291682</v>
      </c>
    </row>
    <row r="6" spans="1:11" ht="15" customHeight="1" x14ac:dyDescent="0.35">
      <c r="A6" t="s">
        <v>1</v>
      </c>
      <c r="C6" t="s">
        <v>17</v>
      </c>
      <c r="D6" t="s">
        <v>18</v>
      </c>
      <c r="E6" t="s">
        <v>19</v>
      </c>
      <c r="F6" t="s">
        <v>20</v>
      </c>
      <c r="G6" t="s">
        <v>121</v>
      </c>
      <c r="H6" t="s">
        <v>122</v>
      </c>
      <c r="I6" s="2">
        <v>45729</v>
      </c>
      <c r="J6" s="2" t="str">
        <f>_xlfn.XLOOKUP(Table1[[#This Row],[ICMPartyName1]],'[1]Supplier Info'!$D:$D,'[1]Supplier Info'!$E:$E,,0)</f>
        <v>CW2291684</v>
      </c>
    </row>
    <row r="7" spans="1:11" ht="15" customHeight="1" x14ac:dyDescent="0.35">
      <c r="A7" t="s">
        <v>1</v>
      </c>
      <c r="C7" t="s">
        <v>21</v>
      </c>
      <c r="D7" t="s">
        <v>22</v>
      </c>
      <c r="E7" t="s">
        <v>23</v>
      </c>
      <c r="F7" t="s">
        <v>24</v>
      </c>
      <c r="G7" t="s">
        <v>121</v>
      </c>
      <c r="H7" t="s">
        <v>122</v>
      </c>
      <c r="I7" s="2">
        <v>45924</v>
      </c>
      <c r="J7" s="2" t="str">
        <f>_xlfn.XLOOKUP(Table1[[#This Row],[ICMPartyName1]],'[1]Supplier Info'!$D:$D,'[1]Supplier Info'!$E:$E,,0)</f>
        <v>CW2291686</v>
      </c>
    </row>
    <row r="8" spans="1:11" ht="15" customHeight="1" x14ac:dyDescent="0.35">
      <c r="A8" t="s">
        <v>1</v>
      </c>
      <c r="C8" t="s">
        <v>25</v>
      </c>
      <c r="D8" t="s">
        <v>26</v>
      </c>
      <c r="E8" t="s">
        <v>27</v>
      </c>
      <c r="F8" t="s">
        <v>5</v>
      </c>
      <c r="G8" t="s">
        <v>121</v>
      </c>
      <c r="H8" t="s">
        <v>122</v>
      </c>
      <c r="I8" s="2">
        <v>45729</v>
      </c>
      <c r="J8" s="2" t="str">
        <f>_xlfn.XLOOKUP(Table1[[#This Row],[ICMPartyName1]],'[1]Supplier Info'!$D:$D,'[1]Supplier Info'!$E:$E,,0)</f>
        <v>CW2291688</v>
      </c>
    </row>
    <row r="9" spans="1:11" ht="15" customHeight="1" x14ac:dyDescent="0.35">
      <c r="A9" t="s">
        <v>1</v>
      </c>
      <c r="C9" t="s">
        <v>28</v>
      </c>
      <c r="D9" t="s">
        <v>29</v>
      </c>
      <c r="E9" t="s">
        <v>30</v>
      </c>
      <c r="F9" t="s">
        <v>5</v>
      </c>
      <c r="G9" t="s">
        <v>121</v>
      </c>
      <c r="H9" t="s">
        <v>122</v>
      </c>
      <c r="I9" s="2">
        <v>45722</v>
      </c>
      <c r="J9" s="2" t="str">
        <f>_xlfn.XLOOKUP(Table1[[#This Row],[ICMPartyName1]],'[1]Supplier Info'!$D:$D,'[1]Supplier Info'!$E:$E,,0)</f>
        <v>CW2290251</v>
      </c>
    </row>
    <row r="10" spans="1:11" ht="15" customHeight="1" x14ac:dyDescent="0.35">
      <c r="A10" t="s">
        <v>1</v>
      </c>
      <c r="C10" t="s">
        <v>31</v>
      </c>
      <c r="D10" t="s">
        <v>32</v>
      </c>
      <c r="E10" t="s">
        <v>33</v>
      </c>
      <c r="F10" t="s">
        <v>5</v>
      </c>
      <c r="G10" t="s">
        <v>121</v>
      </c>
      <c r="H10" t="s">
        <v>122</v>
      </c>
      <c r="I10" s="2">
        <v>45740</v>
      </c>
      <c r="J10" s="2" t="str">
        <f>_xlfn.XLOOKUP(Table1[[#This Row],[ICMPartyName1]],'[1]Supplier Info'!$D:$D,'[1]Supplier Info'!$E:$E,,0)</f>
        <v>CW2291690</v>
      </c>
    </row>
    <row r="11" spans="1:11" ht="15" customHeight="1" x14ac:dyDescent="0.35">
      <c r="A11" t="s">
        <v>1</v>
      </c>
      <c r="C11" t="s">
        <v>34</v>
      </c>
      <c r="D11" t="s">
        <v>35</v>
      </c>
      <c r="E11" t="s">
        <v>36</v>
      </c>
      <c r="F11" t="s">
        <v>5</v>
      </c>
      <c r="G11" t="s">
        <v>121</v>
      </c>
      <c r="H11" t="s">
        <v>122</v>
      </c>
      <c r="I11" s="2">
        <v>45723</v>
      </c>
      <c r="J11" s="2" t="str">
        <f>_xlfn.XLOOKUP(Table1[[#This Row],[ICMPartyName1]],'[1]Supplier Info'!$D:$D,'[1]Supplier Info'!$E:$E,,0)</f>
        <v>CW2291692</v>
      </c>
    </row>
    <row r="12" spans="1:11" ht="15" customHeight="1" x14ac:dyDescent="0.35">
      <c r="A12" t="s">
        <v>1</v>
      </c>
      <c r="C12" t="s">
        <v>37</v>
      </c>
      <c r="D12" t="s">
        <v>38</v>
      </c>
      <c r="E12" t="s">
        <v>39</v>
      </c>
      <c r="F12" t="s">
        <v>40</v>
      </c>
      <c r="G12" t="s">
        <v>121</v>
      </c>
      <c r="H12" t="s">
        <v>122</v>
      </c>
      <c r="I12" s="2">
        <v>45722</v>
      </c>
      <c r="J12" s="2" t="str">
        <f>_xlfn.XLOOKUP(Table1[[#This Row],[ICMPartyName1]],'[1]Supplier Info'!$D:$D,'[1]Supplier Info'!$E:$E,,0)</f>
        <v>CW2291694</v>
      </c>
    </row>
    <row r="13" spans="1:11" ht="15" customHeight="1" x14ac:dyDescent="0.35">
      <c r="A13" t="s">
        <v>41</v>
      </c>
      <c r="C13" t="s">
        <v>42</v>
      </c>
      <c r="D13" t="s">
        <v>43</v>
      </c>
      <c r="E13" t="s">
        <v>44</v>
      </c>
      <c r="F13" t="s">
        <v>45</v>
      </c>
      <c r="G13" t="s">
        <v>121</v>
      </c>
      <c r="H13" t="s">
        <v>122</v>
      </c>
      <c r="I13" s="2"/>
      <c r="J13" s="2" t="str">
        <f>_xlfn.XLOOKUP(Table1[[#This Row],[ICMPartyName1]],'[1]Supplier Info'!$D:$D,'[1]Supplier Info'!$E:$E,,0)</f>
        <v>CW2291696</v>
      </c>
    </row>
    <row r="14" spans="1:11" ht="15" customHeight="1" x14ac:dyDescent="0.35">
      <c r="A14" t="s">
        <v>41</v>
      </c>
      <c r="C14" t="s">
        <v>46</v>
      </c>
      <c r="D14" t="s">
        <v>47</v>
      </c>
      <c r="E14" t="s">
        <v>48</v>
      </c>
      <c r="F14" t="s">
        <v>49</v>
      </c>
      <c r="G14" t="s">
        <v>121</v>
      </c>
      <c r="H14" t="s">
        <v>122</v>
      </c>
      <c r="I14" s="2">
        <v>45791</v>
      </c>
      <c r="J14" s="2" t="str">
        <f>_xlfn.XLOOKUP(Table1[[#This Row],[ICMPartyName1]],'[1]Supplier Info'!$D:$D,'[1]Supplier Info'!$E:$E,,0)</f>
        <v>CW2291698</v>
      </c>
    </row>
    <row r="15" spans="1:11" ht="15" customHeight="1" x14ac:dyDescent="0.35">
      <c r="A15" t="s">
        <v>50</v>
      </c>
      <c r="C15" t="s">
        <v>51</v>
      </c>
      <c r="D15" t="s">
        <v>52</v>
      </c>
      <c r="E15" t="s">
        <v>53</v>
      </c>
      <c r="F15" t="s">
        <v>54</v>
      </c>
      <c r="G15" t="s">
        <v>121</v>
      </c>
      <c r="H15" t="s">
        <v>122</v>
      </c>
      <c r="I15" s="2">
        <v>45740</v>
      </c>
      <c r="J15" s="2" t="str">
        <f>_xlfn.XLOOKUP(Table1[[#This Row],[ICMPartyName1]],'[1]Supplier Info'!$D:$D,'[1]Supplier Info'!$E:$E,,0)</f>
        <v>CW2291772</v>
      </c>
    </row>
    <row r="16" spans="1:11" ht="15" customHeight="1" x14ac:dyDescent="0.35">
      <c r="A16" t="s">
        <v>50</v>
      </c>
      <c r="C16" t="s">
        <v>55</v>
      </c>
      <c r="D16" t="s">
        <v>56</v>
      </c>
      <c r="E16" t="s">
        <v>57</v>
      </c>
      <c r="F16" t="s">
        <v>58</v>
      </c>
      <c r="G16" t="s">
        <v>121</v>
      </c>
      <c r="H16" t="s">
        <v>122</v>
      </c>
      <c r="I16" s="2">
        <v>45784</v>
      </c>
      <c r="J16" s="2" t="str">
        <f>_xlfn.XLOOKUP(Table1[[#This Row],[ICMPartyName1]],'[1]Supplier Info'!$D:$D,'[1]Supplier Info'!$E:$E,,0)</f>
        <v>CW2291700</v>
      </c>
    </row>
    <row r="17" spans="1:11" ht="15" customHeight="1" x14ac:dyDescent="0.35">
      <c r="A17" t="s">
        <v>59</v>
      </c>
      <c r="C17" t="s">
        <v>60</v>
      </c>
      <c r="D17" t="s">
        <v>61</v>
      </c>
      <c r="E17" t="s">
        <v>62</v>
      </c>
      <c r="F17" t="s">
        <v>63</v>
      </c>
      <c r="G17" t="s">
        <v>121</v>
      </c>
      <c r="H17" t="s">
        <v>122</v>
      </c>
      <c r="I17" s="2">
        <v>45740</v>
      </c>
      <c r="J17" s="2" t="str">
        <f>_xlfn.XLOOKUP(Table1[[#This Row],[ICMPartyName1]],'[1]Supplier Info'!$D:$D,'[1]Supplier Info'!$E:$E,,0)</f>
        <v>CW2291702</v>
      </c>
    </row>
    <row r="18" spans="1:11" ht="15" customHeight="1" x14ac:dyDescent="0.35">
      <c r="A18" t="s">
        <v>59</v>
      </c>
      <c r="C18" t="s">
        <v>64</v>
      </c>
      <c r="D18" t="s">
        <v>65</v>
      </c>
      <c r="E18" t="s">
        <v>66</v>
      </c>
      <c r="F18" t="s">
        <v>67</v>
      </c>
      <c r="G18" t="s">
        <v>121</v>
      </c>
      <c r="H18" t="s">
        <v>122</v>
      </c>
      <c r="I18" s="2"/>
      <c r="J18" s="2" t="str">
        <f>_xlfn.XLOOKUP(Table1[[#This Row],[ICMPartyName1]],'[1]Supplier Info'!$D:$D,'[1]Supplier Info'!$E:$E,,0)</f>
        <v>CW2291704</v>
      </c>
    </row>
    <row r="19" spans="1:11" ht="16.5" customHeight="1" x14ac:dyDescent="0.35">
      <c r="A19" t="s">
        <v>59</v>
      </c>
      <c r="C19" t="s">
        <v>68</v>
      </c>
      <c r="D19" t="s">
        <v>69</v>
      </c>
      <c r="E19" t="s">
        <v>70</v>
      </c>
      <c r="F19" t="s">
        <v>45</v>
      </c>
      <c r="G19" t="s">
        <v>121</v>
      </c>
      <c r="H19" t="s">
        <v>122</v>
      </c>
      <c r="I19" s="2"/>
      <c r="J19" s="2" t="str">
        <f>_xlfn.XLOOKUP(Table1[[#This Row],[ICMPartyName1]],'[1]Supplier Info'!$D:$D,'[1]Supplier Info'!$E:$E,,0)</f>
        <v>CW2291706</v>
      </c>
    </row>
    <row r="20" spans="1:11" ht="16.5" customHeight="1" x14ac:dyDescent="0.35">
      <c r="A20" t="s">
        <v>59</v>
      </c>
      <c r="C20" t="s">
        <v>71</v>
      </c>
      <c r="D20" t="s">
        <v>72</v>
      </c>
      <c r="E20" t="s">
        <v>73</v>
      </c>
      <c r="F20" t="s">
        <v>74</v>
      </c>
      <c r="G20" t="s">
        <v>121</v>
      </c>
      <c r="H20" t="s">
        <v>122</v>
      </c>
      <c r="I20" s="2">
        <v>45798</v>
      </c>
      <c r="J20" s="2" t="str">
        <f>_xlfn.XLOOKUP(Table1[[#This Row],[ICMPartyName1]],'[1]Supplier Info'!$D:$D,'[1]Supplier Info'!$E:$E,,0)</f>
        <v>CW2291708</v>
      </c>
    </row>
    <row r="21" spans="1:11" ht="15" customHeight="1" x14ac:dyDescent="0.35">
      <c r="A21" t="s">
        <v>59</v>
      </c>
      <c r="C21" t="s">
        <v>75</v>
      </c>
      <c r="D21" t="s">
        <v>76</v>
      </c>
      <c r="E21" t="s">
        <v>77</v>
      </c>
      <c r="F21" t="s">
        <v>78</v>
      </c>
      <c r="G21" t="s">
        <v>121</v>
      </c>
      <c r="H21" t="s">
        <v>122</v>
      </c>
      <c r="I21" s="2"/>
      <c r="J21" s="2"/>
    </row>
    <row r="22" spans="1:11" ht="15" customHeight="1" x14ac:dyDescent="0.35">
      <c r="A22" t="s">
        <v>59</v>
      </c>
      <c r="C22" t="s">
        <v>79</v>
      </c>
      <c r="D22" t="s">
        <v>80</v>
      </c>
      <c r="E22" t="s">
        <v>81</v>
      </c>
      <c r="F22" t="s">
        <v>78</v>
      </c>
      <c r="G22" t="s">
        <v>121</v>
      </c>
      <c r="H22" t="s">
        <v>122</v>
      </c>
      <c r="I22" s="2"/>
      <c r="J22" s="2" t="str">
        <f>_xlfn.XLOOKUP(Table1[[#This Row],[ICMPartyName1]],'[1]Supplier Info'!$D:$D,'[1]Supplier Info'!$E:$E,,0)</f>
        <v>CW2291710</v>
      </c>
    </row>
    <row r="23" spans="1:11" ht="15" customHeight="1" x14ac:dyDescent="0.35">
      <c r="A23" t="s">
        <v>59</v>
      </c>
      <c r="C23" t="s">
        <v>82</v>
      </c>
      <c r="D23" t="s">
        <v>83</v>
      </c>
      <c r="E23" t="s">
        <v>84</v>
      </c>
      <c r="F23" t="s">
        <v>85</v>
      </c>
      <c r="G23" t="s">
        <v>121</v>
      </c>
      <c r="H23" t="s">
        <v>122</v>
      </c>
      <c r="I23" s="2"/>
      <c r="J23" s="2" t="str">
        <f>_xlfn.XLOOKUP(Table1[[#This Row],[ICMPartyName1]],'[1]Supplier Info'!$D:$D,'[1]Supplier Info'!$E:$E,,0)</f>
        <v>CW2291712</v>
      </c>
    </row>
    <row r="24" spans="1:11" ht="15" customHeight="1" x14ac:dyDescent="0.35">
      <c r="A24" t="s">
        <v>86</v>
      </c>
      <c r="B24" t="s">
        <v>87</v>
      </c>
      <c r="C24" t="s">
        <v>88</v>
      </c>
      <c r="D24" t="s">
        <v>89</v>
      </c>
      <c r="E24" t="s">
        <v>90</v>
      </c>
      <c r="F24" t="s">
        <v>91</v>
      </c>
      <c r="G24" t="s">
        <v>121</v>
      </c>
      <c r="H24" t="s">
        <v>122</v>
      </c>
      <c r="I24" s="2">
        <v>45666</v>
      </c>
      <c r="J24" s="2" t="str">
        <f>_xlfn.XLOOKUP(Table1[[#This Row],[ICMPartyName1]],'[1]Supplier Info'!$D:$D,'[1]Supplier Info'!$E:$E,,0)</f>
        <v>CW2290757</v>
      </c>
      <c r="K24" t="s">
        <v>92</v>
      </c>
    </row>
    <row r="25" spans="1:11" ht="16.5" customHeight="1" x14ac:dyDescent="0.35">
      <c r="A25" t="s">
        <v>86</v>
      </c>
      <c r="B25" t="s">
        <v>93</v>
      </c>
      <c r="C25" t="s">
        <v>88</v>
      </c>
      <c r="D25" t="s">
        <v>89</v>
      </c>
      <c r="E25" t="s">
        <v>94</v>
      </c>
      <c r="F25" t="s">
        <v>95</v>
      </c>
      <c r="G25" t="s">
        <v>121</v>
      </c>
      <c r="H25" t="s">
        <v>122</v>
      </c>
      <c r="I25" s="2">
        <v>45666</v>
      </c>
      <c r="J25" s="2" t="str">
        <f>_xlfn.XLOOKUP(Table1[[#This Row],[ICMPartyName1]],'[1]Supplier Info'!$D:$D,'[1]Supplier Info'!$E:$E,,0)</f>
        <v>CW2290757</v>
      </c>
      <c r="K25" t="s">
        <v>92</v>
      </c>
    </row>
    <row r="26" spans="1:11" ht="16.5" customHeight="1" x14ac:dyDescent="0.35">
      <c r="A26" t="s">
        <v>86</v>
      </c>
      <c r="C26" t="s">
        <v>96</v>
      </c>
      <c r="D26" t="s">
        <v>97</v>
      </c>
      <c r="E26" t="s">
        <v>133</v>
      </c>
      <c r="F26" t="s">
        <v>134</v>
      </c>
      <c r="G26" t="s">
        <v>121</v>
      </c>
      <c r="H26" t="s">
        <v>122</v>
      </c>
      <c r="I26" s="2">
        <v>45658</v>
      </c>
      <c r="J26" s="2" t="str">
        <f>_xlfn.XLOOKUP(Table1[[#This Row],[ICMPartyName1]],'[1]Supplier Info'!$D:$D,'[1]Supplier Info'!$E:$E,,0)</f>
        <v>CW2290755</v>
      </c>
      <c r="K26" t="s">
        <v>98</v>
      </c>
    </row>
    <row r="27" spans="1:11" ht="15" customHeight="1" x14ac:dyDescent="0.35">
      <c r="A27" t="s">
        <v>86</v>
      </c>
      <c r="C27" t="s">
        <v>99</v>
      </c>
      <c r="D27" t="s">
        <v>100</v>
      </c>
      <c r="E27" t="s">
        <v>101</v>
      </c>
      <c r="F27" t="s">
        <v>102</v>
      </c>
      <c r="G27" t="s">
        <v>121</v>
      </c>
      <c r="H27" t="s">
        <v>122</v>
      </c>
      <c r="I27" s="2">
        <v>45693</v>
      </c>
      <c r="J27" s="2" t="str">
        <f>_xlfn.XLOOKUP(Table1[[#This Row],[ICMPartyName1]],'[1]Supplier Info'!$D:$D,'[1]Supplier Info'!$E:$E,,0)</f>
        <v>CW2290761</v>
      </c>
      <c r="K27" t="s">
        <v>103</v>
      </c>
    </row>
    <row r="28" spans="1:11" ht="16.5" customHeight="1" x14ac:dyDescent="0.35">
      <c r="A28" t="s">
        <v>86</v>
      </c>
      <c r="C28" t="s">
        <v>104</v>
      </c>
      <c r="D28" t="s">
        <v>105</v>
      </c>
      <c r="E28" t="s">
        <v>106</v>
      </c>
      <c r="F28" t="s">
        <v>78</v>
      </c>
      <c r="G28" t="s">
        <v>121</v>
      </c>
      <c r="H28" t="s">
        <v>122</v>
      </c>
      <c r="I28" s="2">
        <v>45666</v>
      </c>
      <c r="J28" s="2" t="str">
        <f>_xlfn.XLOOKUP(Table1[[#This Row],[ICMPartyName1]],'[1]Supplier Info'!$D:$D,'[1]Supplier Info'!$E:$E,,0)</f>
        <v>CW2290759</v>
      </c>
      <c r="K28" t="s">
        <v>107</v>
      </c>
    </row>
    <row r="29" spans="1:11" ht="16.5" customHeight="1" x14ac:dyDescent="0.35">
      <c r="A29" t="s">
        <v>86</v>
      </c>
      <c r="C29" t="s">
        <v>108</v>
      </c>
      <c r="D29" t="s">
        <v>109</v>
      </c>
      <c r="E29" t="s">
        <v>110</v>
      </c>
      <c r="F29" t="s">
        <v>63</v>
      </c>
      <c r="G29" t="s">
        <v>121</v>
      </c>
      <c r="H29" t="s">
        <v>122</v>
      </c>
      <c r="I29" s="2">
        <v>45672</v>
      </c>
      <c r="J29" s="2" t="str">
        <f>_xlfn.XLOOKUP(Table1[[#This Row],[ICMPartyName1]],'[1]Supplier Info'!$D:$D,'[1]Supplier Info'!$E:$E,,0)</f>
        <v>CW2290763</v>
      </c>
      <c r="K29" t="s">
        <v>111</v>
      </c>
    </row>
    <row r="30" spans="1:11" ht="16.5" customHeight="1" x14ac:dyDescent="0.35">
      <c r="A30" t="s">
        <v>112</v>
      </c>
      <c r="C30" t="s">
        <v>113</v>
      </c>
      <c r="D30" t="s">
        <v>114</v>
      </c>
      <c r="E30" t="s">
        <v>115</v>
      </c>
      <c r="F30" t="s">
        <v>116</v>
      </c>
      <c r="G30" t="s">
        <v>121</v>
      </c>
      <c r="H30" t="s">
        <v>122</v>
      </c>
      <c r="I30" s="2">
        <v>45714</v>
      </c>
      <c r="J30" s="2" t="str">
        <f>_xlfn.XLOOKUP(Table1[[#This Row],[ICMPartyName1]],'[1]Supplier Info'!$D:$D,'[1]Supplier Info'!$E:$E,,0)</f>
        <v>CW2290334</v>
      </c>
    </row>
    <row r="31" spans="1:11" ht="16.5" customHeight="1" x14ac:dyDescent="0.35">
      <c r="A31" t="s">
        <v>112</v>
      </c>
      <c r="C31" t="s">
        <v>117</v>
      </c>
      <c r="D31" t="s">
        <v>118</v>
      </c>
      <c r="E31" t="s">
        <v>119</v>
      </c>
      <c r="F31" t="s">
        <v>5</v>
      </c>
      <c r="G31" t="s">
        <v>121</v>
      </c>
      <c r="H31" t="s">
        <v>122</v>
      </c>
      <c r="I31" s="2"/>
      <c r="J31" s="2" t="str">
        <f>_xlfn.XLOOKUP(Table1[[#This Row],[ICMPartyName1]],'[1]Supplier Info'!$D:$D,'[1]Supplier Info'!$E:$E,,0)</f>
        <v>CW2290765</v>
      </c>
    </row>
  </sheetData>
  <phoneticPr fontId="2" type="noConversion"/>
  <pageMargins left="0.7" right="0.7" top="0.75" bottom="0.75" header="0.3" footer="0.3"/>
  <pageSetup paperSize="9" orientation="portrait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BB62D9C7AC4249BB50D4F119F8FF50" ma:contentTypeVersion="14" ma:contentTypeDescription="Create a new document." ma:contentTypeScope="" ma:versionID="dab14850594d04436880d3464ba468af">
  <xsd:schema xmlns:xsd="http://www.w3.org/2001/XMLSchema" xmlns:xs="http://www.w3.org/2001/XMLSchema" xmlns:p="http://schemas.microsoft.com/office/2006/metadata/properties" xmlns:ns2="3ddbdfa1-be50-4b7a-b66f-14c4748c8596" xmlns:ns3="2df2684a-2237-489e-8795-1f946593e18f" targetNamespace="http://schemas.microsoft.com/office/2006/metadata/properties" ma:root="true" ma:fieldsID="eb8d2f689c1774a9065a5e99593f72e7" ns2:_="" ns3:_="">
    <xsd:import namespace="3ddbdfa1-be50-4b7a-b66f-14c4748c8596"/>
    <xsd:import namespace="2df2684a-2237-489e-8795-1f946593e18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dbdfa1-be50-4b7a-b66f-14c4748c85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297f403b-2b63-43ad-9c62-fa967f2a15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f2684a-2237-489e-8795-1f946593e18f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56327b89-34c4-4568-b2a7-da91744d4bac}" ma:internalName="TaxCatchAll" ma:showField="CatchAllData" ma:web="2df2684a-2237-489e-8795-1f946593e18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f2684a-2237-489e-8795-1f946593e18f" xsi:nil="true"/>
    <lcf76f155ced4ddcb4097134ff3c332f xmlns="3ddbdfa1-be50-4b7a-b66f-14c4748c859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12A39FB-A1FD-418D-A657-32ECBACC94F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dbdfa1-be50-4b7a-b66f-14c4748c8596"/>
    <ds:schemaRef ds:uri="2df2684a-2237-489e-8795-1f946593e18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9D94F07-D8B4-4F0F-9836-65B41DA3975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F55CD33-1A0B-42F8-BD7E-0D32351F432C}">
  <ds:schemaRefs>
    <ds:schemaRef ds:uri="http://schemas.microsoft.com/office/2006/metadata/properties"/>
    <ds:schemaRef ds:uri="http://schemas.microsoft.com/office/infopath/2007/PartnerControls"/>
    <ds:schemaRef ds:uri="2df2684a-2237-489e-8795-1f946593e18f"/>
    <ds:schemaRef ds:uri="3ddbdfa1-be50-4b7a-b66f-14c4748c859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Supplier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Lin, Mason</dc:creator>
  <cp:lastModifiedBy>Lin, Mason</cp:lastModifiedBy>
  <dcterms:created xsi:type="dcterms:W3CDTF">2026-07-18T04:39:08Z</dcterms:created>
  <dcterms:modified xsi:type="dcterms:W3CDTF">2026-07-23T03:19:06Z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0x010100C7BB62D9C7AC4249BB50D4F119F8FF50</vt:lpwstr>
  </property>
  <property fmtid="{D5CDD505-2E9C-101B-9397-08002B2CF9AE}" pid="3" name="MediaServiceImageTags">
    <vt:lpwstr/>
  </property>
</Properties>
</file>